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a\devops\week16\Azure\Estimate-Azure-Cost\"/>
    </mc:Choice>
  </mc:AlternateContent>
  <xr:revisionPtr revIDLastSave="0" documentId="13_ncr:1_{A9506BD9-6DE5-40F8-8186-F825918F0937}" xr6:coauthVersionLast="47" xr6:coauthVersionMax="47" xr10:uidLastSave="{00000000-0000-0000-0000-000000000000}"/>
  <bookViews>
    <workbookView xWindow="43785" yWindow="2850" windowWidth="28620" windowHeight="14925" xr2:uid="{00000000-000D-0000-FFFF-FFFF00000000}"/>
  </bookViews>
  <sheets>
    <sheet name="Your Estim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</calcChain>
</file>

<file path=xl/sharedStrings.xml><?xml version="1.0" encoding="utf-8"?>
<sst xmlns="http://schemas.openxmlformats.org/spreadsheetml/2006/main" count="39" uniqueCount="31">
  <si>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</si>
  <si>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</si>
  <si>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</si>
  <si>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</si>
  <si>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</si>
  <si>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</si>
  <si>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</si>
  <si>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</si>
  <si>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</si>
  <si>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</si>
  <si>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/>
  </si>
  <si>
    <t>East US</t>
  </si>
  <si>
    <t>1 B1s (1 Core, 1 GB RAM) (3 year savings plan), Windows (License included), OS Only; 1 managed disk – S4; Inter Region transfer type, 5 GB outbound data transfer from East US to East Asia</t>
  </si>
  <si>
    <t>1 B1s (1 Core, 1 GB RAM) x 730 Hours (Pay as you go), Linux,  (Pay as you go); 0 managed disks – S4; Inter Region transfer type, 5 GB outbound data transfer from East US to East Asia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</si>
  <si>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</si>
  <si>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</si>
  <si>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</si>
  <si>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</si>
  <si>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</si>
  <si>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</si>
  <si>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</si>
  <si>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</si>
  <si>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9/14/2026 11:18:58 AM UTC.</t>
  </si>
  <si>
    <t xml:space="preserve">Virtual Machines /Pay-as-you-go </t>
  </si>
  <si>
    <t>Virtual Machines/ 3 years savings plan</t>
  </si>
  <si>
    <t>Estimated anual cost</t>
  </si>
  <si>
    <t>Analyse:</t>
  </si>
  <si>
    <t>3 years savings plan w Upfront payment / Windows OS</t>
  </si>
  <si>
    <t>Pay-as-you-go. Cancelation at your convenience. / Linux and Ubuntu</t>
  </si>
  <si>
    <t>3 years savings plan w Upfront payment /Linux and Ubuntu</t>
  </si>
  <si>
    <r>
      <t>When comparing the different pricing options for a VM with basic B1 instance, we can clearly see the advantage with subscriptions, the yearly price is almost half compared to Pay-as-you-go. Having a time frame in mind when making a budget for your resources can save you a lot of money. In this example the primery VM is with 3 years savings plan, and upfront payment, This is for 3 years and thus the total would be:</t>
    </r>
    <r>
      <rPr>
        <b/>
        <sz val="12"/>
        <color rgb="FF0070C0"/>
        <rFont val="Aptos Narrow"/>
        <family val="2"/>
        <scheme val="minor"/>
      </rPr>
      <t xml:space="preserve"> 4.46*36=160.56 160.56+123.25=283.81 dollars for 3 years.</t>
    </r>
    <r>
      <rPr>
        <b/>
        <sz val="12"/>
        <color theme="0"/>
        <rFont val="Aptos Narrow"/>
        <family val="2"/>
        <scheme val="minor"/>
      </rPr>
      <t xml:space="preserve"> While in comparison the Pay-as-you-go alternative with no upfront cost would be</t>
    </r>
    <r>
      <rPr>
        <b/>
        <sz val="12"/>
        <color rgb="FF0070C0"/>
        <rFont val="Aptos Narrow"/>
        <family val="2"/>
        <scheme val="minor"/>
      </rPr>
      <t xml:space="preserve"> 7.59*36=273.24</t>
    </r>
    <r>
      <rPr>
        <b/>
        <sz val="12"/>
        <color theme="0"/>
        <rFont val="Aptos Narrow"/>
        <family val="2"/>
        <scheme val="minor"/>
      </rPr>
      <t xml:space="preserve">  // These two have different OS and what is obvious with this comparisong is that Windows is more expensive then Linux and that difference is "eating" the possible savings from the 3 years savings plan in this situation. If the VM with 3 years savings plan would be a Linux/Ubuntu version the total 3 year cost would be:</t>
    </r>
    <r>
      <rPr>
        <b/>
        <sz val="12"/>
        <color rgb="FF0070C0"/>
        <rFont val="Aptos Narrow"/>
        <family val="2"/>
        <scheme val="minor"/>
      </rPr>
      <t xml:space="preserve"> 1.54*36=55.44 55.44+123.25=178.69 dollars for 3 years</t>
    </r>
    <r>
      <rPr>
        <b/>
        <sz val="12"/>
        <color theme="0"/>
        <rFont val="Aptos Narrow"/>
        <family val="2"/>
        <scheme val="minor"/>
      </rPr>
      <t xml:space="preserve">. This is to show you that the type of resource and the design of it, will also play a distinct role in managing costs, not only time and possible savings plan.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</si>
</sst>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"/>
  </numFmts>
  <fonts count="11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  <font>
      <b/>
      <sz val="11"/>
      <color theme="0"/>
      <name val="Aptos Narrow"/>
      <family val="2"/>
      <scheme val="minor"/>
    </font>
    <font>
      <sz val="11"/>
      <name val="Segoe UI Light"/>
      <family val="2"/>
    </font>
    <font>
      <b/>
      <sz val="12"/>
      <color theme="0"/>
      <name val="Aptos Narrow"/>
      <family val="2"/>
      <scheme val="minor"/>
    </font>
    <font>
      <b/>
      <sz val="12"/>
      <color rgb="FF0070C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3D3D3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thick">
        <color theme="4" tint="0.499984740745262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rgb="FF3F3F3F"/>
      </right>
      <top style="double">
        <color rgb="FF3F3F3F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medium">
        <color indexed="64"/>
      </bottom>
      <diagonal/>
    </border>
    <border>
      <left style="double">
        <color rgb="FF3F3F3F"/>
      </left>
      <right style="medium">
        <color indexed="64"/>
      </right>
      <top style="double">
        <color rgb="FF3F3F3F"/>
      </top>
      <bottom style="medium">
        <color indexed="64"/>
      </bottom>
      <diagonal/>
    </border>
  </borders>
  <cellStyleXfs count="3">
    <xf numFmtId="0" fontId="0" fillId="0" borderId="0"/>
    <xf numFmtId="0" fontId="7" fillId="4" borderId="2" applyNumberFormat="0" applyAlignment="0" applyProtection="0"/>
    <xf numFmtId="0" fontId="1" fillId="5" borderId="0" applyNumberFormat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164" fontId="0" fillId="0" borderId="0" xfId="0" applyNumberForma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164" fontId="0" fillId="0" borderId="0" xfId="0" applyNumberFormat="1" applyAlignment="1">
      <alignment horizontal="left"/>
    </xf>
    <xf numFmtId="164" fontId="2" fillId="0" borderId="0" xfId="0" applyNumberFormat="1" applyFont="1" applyAlignment="1">
      <alignment horizontal="left"/>
    </xf>
    <xf numFmtId="0" fontId="5" fillId="2" borderId="0" xfId="0" applyFont="1" applyFill="1" applyAlignment="1">
      <alignment vertical="top" wrapText="1"/>
    </xf>
    <xf numFmtId="164" fontId="5" fillId="2" borderId="0" xfId="0" applyNumberFormat="1" applyFont="1" applyFill="1" applyAlignment="1">
      <alignment horizontal="left" vertical="top"/>
    </xf>
    <xf numFmtId="0" fontId="2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horizontal="left" vertical="top"/>
    </xf>
    <xf numFmtId="0" fontId="6" fillId="3" borderId="0" xfId="0" applyFont="1" applyFill="1" applyAlignment="1">
      <alignment vertical="top" wrapText="1"/>
    </xf>
    <xf numFmtId="164" fontId="6" fillId="3" borderId="0" xfId="0" applyNumberFormat="1" applyFont="1" applyFill="1" applyAlignment="1">
      <alignment horizontal="left"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6" fillId="3" borderId="0" xfId="0" applyFont="1" applyFill="1" applyAlignment="1">
      <alignment vertical="top" wrapText="1"/>
    </xf>
    <xf numFmtId="164" fontId="6" fillId="3" borderId="0" xfId="0" applyNumberFormat="1" applyFont="1" applyFill="1" applyAlignment="1">
      <alignment horizontal="left" vertical="top"/>
    </xf>
    <xf numFmtId="0" fontId="8" fillId="0" borderId="0" xfId="0" applyFont="1" applyAlignment="1">
      <alignment vertical="top" wrapText="1"/>
    </xf>
    <xf numFmtId="0" fontId="1" fillId="5" borderId="3" xfId="2" applyBorder="1"/>
    <xf numFmtId="0" fontId="1" fillId="5" borderId="4" xfId="2" applyBorder="1" applyAlignment="1">
      <alignment vertical="top" wrapText="1"/>
    </xf>
    <xf numFmtId="164" fontId="1" fillId="5" borderId="4" xfId="2" applyNumberFormat="1" applyBorder="1" applyAlignment="1">
      <alignment horizontal="left" vertical="top"/>
    </xf>
    <xf numFmtId="164" fontId="1" fillId="5" borderId="5" xfId="2" applyNumberFormat="1" applyBorder="1" applyAlignment="1">
      <alignment horizontal="left" vertical="top"/>
    </xf>
    <xf numFmtId="0" fontId="9" fillId="4" borderId="6" xfId="1" applyFont="1" applyBorder="1" applyAlignment="1">
      <alignment horizontal="center" vertical="top" wrapText="1"/>
    </xf>
    <xf numFmtId="0" fontId="9" fillId="4" borderId="7" xfId="1" applyFont="1" applyBorder="1" applyAlignment="1">
      <alignment horizontal="center" vertical="top" wrapText="1"/>
    </xf>
    <xf numFmtId="0" fontId="9" fillId="4" borderId="8" xfId="1" applyFont="1" applyBorder="1" applyAlignment="1">
      <alignment horizontal="center" vertical="top" wrapText="1"/>
    </xf>
  </cellXfs>
  <cellStyles count="3">
    <cellStyle name="60% - Accent1" xfId="2" builtinId="32"/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topLeftCell="A4" workbookViewId="0">
      <selection activeCell="H14" sqref="H14"/>
    </sheetView>
  </sheetViews>
  <sheetFormatPr defaultRowHeight="14.25" x14ac:dyDescent="0.45"/>
  <cols>
    <col min="1" max="4" width="24" style="2" customWidth="1"/>
    <col min="5" max="5" width="50" style="2" customWidth="1"/>
    <col min="6" max="7" width="30" style="4" customWidth="1"/>
    <col min="8" max="8" width="30" style="6" customWidth="1"/>
  </cols>
  <sheetData>
    <row r="1" spans="1:26" ht="20.25" x14ac:dyDescent="0.6">
      <c r="A1" s="16" t="s">
        <v>0</v>
      </c>
      <c r="B1" s="17"/>
      <c r="C1" s="17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x14ac:dyDescent="0.6">
      <c r="A2" s="18" t="s">
        <v>1</v>
      </c>
      <c r="B2" s="17"/>
      <c r="C2" s="17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x14ac:dyDescent="0.6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9" t="s">
        <v>8</v>
      </c>
      <c r="H3" s="9" t="s">
        <v>25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6" x14ac:dyDescent="0.6">
      <c r="A4" s="3" t="s">
        <v>9</v>
      </c>
      <c r="B4" s="3" t="s">
        <v>24</v>
      </c>
      <c r="C4" s="21" t="s">
        <v>27</v>
      </c>
      <c r="D4" s="3" t="s">
        <v>11</v>
      </c>
      <c r="E4" s="3" t="s">
        <v>12</v>
      </c>
      <c r="F4" s="5">
        <v>4.4560000000000004</v>
      </c>
      <c r="G4" s="5">
        <v>123.25320000000001</v>
      </c>
      <c r="H4" s="5">
        <v>53.47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6" x14ac:dyDescent="0.6">
      <c r="A5" s="21" t="s">
        <v>9</v>
      </c>
      <c r="B5" s="21" t="s">
        <v>24</v>
      </c>
      <c r="C5" s="21" t="s">
        <v>29</v>
      </c>
      <c r="D5" s="21" t="s">
        <v>11</v>
      </c>
      <c r="E5" s="3" t="s">
        <v>13</v>
      </c>
      <c r="F5" s="5">
        <v>1.54</v>
      </c>
      <c r="G5" s="5">
        <v>123.25320000000001</v>
      </c>
      <c r="H5" s="5">
        <v>18.43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6" x14ac:dyDescent="0.6">
      <c r="A6" s="3" t="s">
        <v>9</v>
      </c>
      <c r="B6" s="3" t="s">
        <v>23</v>
      </c>
      <c r="C6" s="21" t="s">
        <v>28</v>
      </c>
      <c r="D6" s="3" t="s">
        <v>11</v>
      </c>
      <c r="E6" s="3" t="s">
        <v>13</v>
      </c>
      <c r="F6" s="5">
        <v>7.5919999999999996</v>
      </c>
      <c r="G6" s="5">
        <v>0</v>
      </c>
      <c r="H6" s="5">
        <v>91.1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x14ac:dyDescent="0.6">
      <c r="A7" s="3" t="s">
        <v>14</v>
      </c>
      <c r="B7" s="3"/>
      <c r="C7" s="3"/>
      <c r="D7" s="11" t="s">
        <v>14</v>
      </c>
      <c r="E7" s="10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x14ac:dyDescent="0.6">
      <c r="A8" s="3"/>
      <c r="B8" s="3"/>
      <c r="C8" s="3"/>
      <c r="D8" s="11" t="s">
        <v>15</v>
      </c>
      <c r="E8" s="11" t="s">
        <v>16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x14ac:dyDescent="0.6">
      <c r="A9" s="3"/>
      <c r="B9" s="3"/>
      <c r="C9" s="3"/>
      <c r="D9" s="11" t="s">
        <v>17</v>
      </c>
      <c r="E9" s="11" t="s">
        <v>10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x14ac:dyDescent="0.6">
      <c r="A10" s="3"/>
      <c r="B10" s="3"/>
      <c r="C10" s="3"/>
      <c r="D10" s="11" t="s">
        <v>18</v>
      </c>
      <c r="E10" s="11" t="s">
        <v>10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x14ac:dyDescent="0.6">
      <c r="A11" s="3"/>
      <c r="B11" s="3"/>
      <c r="C11" s="3"/>
      <c r="D11" s="12" t="s">
        <v>19</v>
      </c>
      <c r="E11" s="10"/>
      <c r="F11" s="13">
        <v>12.048</v>
      </c>
      <c r="G11" s="13">
        <v>123.25320000000001</v>
      </c>
      <c r="H11" s="13">
        <f>SUM(H4:H6)</f>
        <v>163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x14ac:dyDescent="0.6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x14ac:dyDescent="0.6">
      <c r="A13" s="11" t="s">
        <v>20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x14ac:dyDescent="0.6">
      <c r="A14" s="19" t="s">
        <v>21</v>
      </c>
      <c r="B14" s="19"/>
      <c r="C14" s="19"/>
      <c r="D14" s="19"/>
      <c r="E14" s="19"/>
      <c r="F14" s="20"/>
      <c r="G14" s="20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x14ac:dyDescent="0.6">
      <c r="A15" s="19" t="s">
        <v>22</v>
      </c>
      <c r="B15" s="19"/>
      <c r="C15" s="19"/>
      <c r="D15" s="19"/>
      <c r="E15" s="19"/>
      <c r="F15" s="20"/>
      <c r="G15" s="20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899999999999999" thickBot="1" x14ac:dyDescent="0.65">
      <c r="A16" s="14"/>
      <c r="B16" s="14"/>
      <c r="C16" s="14"/>
      <c r="D16" s="14"/>
      <c r="E16" s="14"/>
      <c r="F16" s="15"/>
      <c r="G16" s="1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899999999999999" thickBot="1" x14ac:dyDescent="0.65">
      <c r="A17" s="22" t="s">
        <v>26</v>
      </c>
      <c r="B17" s="23"/>
      <c r="C17" s="23"/>
      <c r="D17" s="23"/>
      <c r="E17" s="23"/>
      <c r="F17" s="24"/>
      <c r="G17" s="2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00.15" customHeight="1" thickTop="1" thickBot="1" x14ac:dyDescent="0.65">
      <c r="A18" s="26" t="s">
        <v>30</v>
      </c>
      <c r="B18" s="27"/>
      <c r="C18" s="27"/>
      <c r="D18" s="27"/>
      <c r="E18" s="27"/>
      <c r="F18" s="27"/>
      <c r="G18" s="28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x14ac:dyDescent="0.6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x14ac:dyDescent="0.6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x14ac:dyDescent="0.6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x14ac:dyDescent="0.6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x14ac:dyDescent="0.6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x14ac:dyDescent="0.6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x14ac:dyDescent="0.6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x14ac:dyDescent="0.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x14ac:dyDescent="0.6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x14ac:dyDescent="0.6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x14ac:dyDescent="0.6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x14ac:dyDescent="0.6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x14ac:dyDescent="0.6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x14ac:dyDescent="0.6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x14ac:dyDescent="0.6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x14ac:dyDescent="0.6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x14ac:dyDescent="0.6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x14ac:dyDescent="0.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x14ac:dyDescent="0.6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x14ac:dyDescent="0.6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x14ac:dyDescent="0.6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x14ac:dyDescent="0.6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x14ac:dyDescent="0.6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x14ac:dyDescent="0.6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x14ac:dyDescent="0.6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x14ac:dyDescent="0.6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x14ac:dyDescent="0.6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x14ac:dyDescent="0.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x14ac:dyDescent="0.6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x14ac:dyDescent="0.6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x14ac:dyDescent="0.6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x14ac:dyDescent="0.6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x14ac:dyDescent="0.6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x14ac:dyDescent="0.6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x14ac:dyDescent="0.6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x14ac:dyDescent="0.6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x14ac:dyDescent="0.6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x14ac:dyDescent="0.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x14ac:dyDescent="0.6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x14ac:dyDescent="0.6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x14ac:dyDescent="0.6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x14ac:dyDescent="0.6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x14ac:dyDescent="0.6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x14ac:dyDescent="0.6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x14ac:dyDescent="0.6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x14ac:dyDescent="0.6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x14ac:dyDescent="0.6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x14ac:dyDescent="0.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x14ac:dyDescent="0.6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x14ac:dyDescent="0.6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x14ac:dyDescent="0.6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x14ac:dyDescent="0.6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x14ac:dyDescent="0.6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x14ac:dyDescent="0.6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x14ac:dyDescent="0.6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x14ac:dyDescent="0.6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x14ac:dyDescent="0.6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x14ac:dyDescent="0.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x14ac:dyDescent="0.6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x14ac:dyDescent="0.6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x14ac:dyDescent="0.6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x14ac:dyDescent="0.6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x14ac:dyDescent="0.6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x14ac:dyDescent="0.6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x14ac:dyDescent="0.6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x14ac:dyDescent="0.6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x14ac:dyDescent="0.6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x14ac:dyDescent="0.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x14ac:dyDescent="0.6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x14ac:dyDescent="0.6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x14ac:dyDescent="0.6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x14ac:dyDescent="0.6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x14ac:dyDescent="0.6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x14ac:dyDescent="0.6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x14ac:dyDescent="0.6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x14ac:dyDescent="0.6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x14ac:dyDescent="0.6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x14ac:dyDescent="0.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x14ac:dyDescent="0.6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x14ac:dyDescent="0.6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x14ac:dyDescent="0.6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x14ac:dyDescent="0.6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x14ac:dyDescent="0.6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x14ac:dyDescent="0.6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x14ac:dyDescent="0.6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x14ac:dyDescent="0.6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x14ac:dyDescent="0.6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x14ac:dyDescent="0.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x14ac:dyDescent="0.6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x14ac:dyDescent="0.6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x14ac:dyDescent="0.6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x14ac:dyDescent="0.6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x14ac:dyDescent="0.6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x14ac:dyDescent="0.6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x14ac:dyDescent="0.6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x14ac:dyDescent="0.6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x14ac:dyDescent="0.6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x14ac:dyDescent="0.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x14ac:dyDescent="0.6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x14ac:dyDescent="0.6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x14ac:dyDescent="0.6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x14ac:dyDescent="0.6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x14ac:dyDescent="0.6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x14ac:dyDescent="0.6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x14ac:dyDescent="0.6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x14ac:dyDescent="0.6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x14ac:dyDescent="0.6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x14ac:dyDescent="0.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x14ac:dyDescent="0.6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x14ac:dyDescent="0.6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x14ac:dyDescent="0.6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x14ac:dyDescent="0.6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x14ac:dyDescent="0.6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x14ac:dyDescent="0.6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x14ac:dyDescent="0.6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x14ac:dyDescent="0.6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x14ac:dyDescent="0.6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x14ac:dyDescent="0.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x14ac:dyDescent="0.6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x14ac:dyDescent="0.6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x14ac:dyDescent="0.6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x14ac:dyDescent="0.6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x14ac:dyDescent="0.6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x14ac:dyDescent="0.6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x14ac:dyDescent="0.6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x14ac:dyDescent="0.6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x14ac:dyDescent="0.6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x14ac:dyDescent="0.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x14ac:dyDescent="0.6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x14ac:dyDescent="0.6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x14ac:dyDescent="0.6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x14ac:dyDescent="0.6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x14ac:dyDescent="0.6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x14ac:dyDescent="0.6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x14ac:dyDescent="0.6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x14ac:dyDescent="0.6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x14ac:dyDescent="0.6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x14ac:dyDescent="0.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x14ac:dyDescent="0.6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x14ac:dyDescent="0.6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x14ac:dyDescent="0.6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x14ac:dyDescent="0.6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x14ac:dyDescent="0.6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x14ac:dyDescent="0.6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x14ac:dyDescent="0.6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x14ac:dyDescent="0.6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x14ac:dyDescent="0.6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x14ac:dyDescent="0.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x14ac:dyDescent="0.6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x14ac:dyDescent="0.6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x14ac:dyDescent="0.6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x14ac:dyDescent="0.6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x14ac:dyDescent="0.6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x14ac:dyDescent="0.6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x14ac:dyDescent="0.6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x14ac:dyDescent="0.6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x14ac:dyDescent="0.6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x14ac:dyDescent="0.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x14ac:dyDescent="0.6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x14ac:dyDescent="0.6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x14ac:dyDescent="0.6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x14ac:dyDescent="0.6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x14ac:dyDescent="0.6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x14ac:dyDescent="0.6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x14ac:dyDescent="0.6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x14ac:dyDescent="0.6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x14ac:dyDescent="0.6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x14ac:dyDescent="0.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x14ac:dyDescent="0.6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x14ac:dyDescent="0.6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x14ac:dyDescent="0.6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x14ac:dyDescent="0.6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x14ac:dyDescent="0.6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x14ac:dyDescent="0.6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x14ac:dyDescent="0.6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x14ac:dyDescent="0.6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x14ac:dyDescent="0.6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x14ac:dyDescent="0.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x14ac:dyDescent="0.6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x14ac:dyDescent="0.6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x14ac:dyDescent="0.6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x14ac:dyDescent="0.6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x14ac:dyDescent="0.6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x14ac:dyDescent="0.6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x14ac:dyDescent="0.6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x14ac:dyDescent="0.6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x14ac:dyDescent="0.6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x14ac:dyDescent="0.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x14ac:dyDescent="0.6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x14ac:dyDescent="0.6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x14ac:dyDescent="0.6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x14ac:dyDescent="0.6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x14ac:dyDescent="0.6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x14ac:dyDescent="0.6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x14ac:dyDescent="0.6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x14ac:dyDescent="0.6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x14ac:dyDescent="0.6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x14ac:dyDescent="0.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x14ac:dyDescent="0.6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x14ac:dyDescent="0.6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x14ac:dyDescent="0.6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x14ac:dyDescent="0.6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x14ac:dyDescent="0.6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x14ac:dyDescent="0.6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x14ac:dyDescent="0.6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x14ac:dyDescent="0.6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x14ac:dyDescent="0.6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x14ac:dyDescent="0.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x14ac:dyDescent="0.6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x14ac:dyDescent="0.6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x14ac:dyDescent="0.6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x14ac:dyDescent="0.6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x14ac:dyDescent="0.6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x14ac:dyDescent="0.6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x14ac:dyDescent="0.6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x14ac:dyDescent="0.6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x14ac:dyDescent="0.6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x14ac:dyDescent="0.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x14ac:dyDescent="0.6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x14ac:dyDescent="0.6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x14ac:dyDescent="0.6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x14ac:dyDescent="0.6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x14ac:dyDescent="0.6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x14ac:dyDescent="0.6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x14ac:dyDescent="0.6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x14ac:dyDescent="0.6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x14ac:dyDescent="0.6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x14ac:dyDescent="0.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x14ac:dyDescent="0.6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x14ac:dyDescent="0.6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x14ac:dyDescent="0.6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x14ac:dyDescent="0.6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x14ac:dyDescent="0.6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x14ac:dyDescent="0.6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x14ac:dyDescent="0.6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x14ac:dyDescent="0.6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x14ac:dyDescent="0.6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x14ac:dyDescent="0.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x14ac:dyDescent="0.6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x14ac:dyDescent="0.6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x14ac:dyDescent="0.6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x14ac:dyDescent="0.6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x14ac:dyDescent="0.6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x14ac:dyDescent="0.6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x14ac:dyDescent="0.6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x14ac:dyDescent="0.6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x14ac:dyDescent="0.6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x14ac:dyDescent="0.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x14ac:dyDescent="0.6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x14ac:dyDescent="0.6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x14ac:dyDescent="0.6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x14ac:dyDescent="0.6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x14ac:dyDescent="0.6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x14ac:dyDescent="0.6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x14ac:dyDescent="0.6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x14ac:dyDescent="0.6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x14ac:dyDescent="0.6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x14ac:dyDescent="0.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x14ac:dyDescent="0.6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x14ac:dyDescent="0.6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x14ac:dyDescent="0.6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x14ac:dyDescent="0.6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x14ac:dyDescent="0.6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x14ac:dyDescent="0.6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x14ac:dyDescent="0.6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x14ac:dyDescent="0.6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x14ac:dyDescent="0.6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x14ac:dyDescent="0.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x14ac:dyDescent="0.6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x14ac:dyDescent="0.6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x14ac:dyDescent="0.6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x14ac:dyDescent="0.6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x14ac:dyDescent="0.6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x14ac:dyDescent="0.6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x14ac:dyDescent="0.6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x14ac:dyDescent="0.6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x14ac:dyDescent="0.6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x14ac:dyDescent="0.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x14ac:dyDescent="0.6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x14ac:dyDescent="0.6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x14ac:dyDescent="0.6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x14ac:dyDescent="0.6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x14ac:dyDescent="0.6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x14ac:dyDescent="0.6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x14ac:dyDescent="0.6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x14ac:dyDescent="0.6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x14ac:dyDescent="0.6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x14ac:dyDescent="0.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x14ac:dyDescent="0.6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x14ac:dyDescent="0.6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x14ac:dyDescent="0.6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x14ac:dyDescent="0.6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x14ac:dyDescent="0.6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x14ac:dyDescent="0.6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x14ac:dyDescent="0.6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x14ac:dyDescent="0.6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x14ac:dyDescent="0.6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x14ac:dyDescent="0.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x14ac:dyDescent="0.6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x14ac:dyDescent="0.6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x14ac:dyDescent="0.6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x14ac:dyDescent="0.6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x14ac:dyDescent="0.6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x14ac:dyDescent="0.6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x14ac:dyDescent="0.6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x14ac:dyDescent="0.6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x14ac:dyDescent="0.6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x14ac:dyDescent="0.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x14ac:dyDescent="0.6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x14ac:dyDescent="0.6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x14ac:dyDescent="0.6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x14ac:dyDescent="0.6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x14ac:dyDescent="0.6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x14ac:dyDescent="0.6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x14ac:dyDescent="0.6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x14ac:dyDescent="0.6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x14ac:dyDescent="0.6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x14ac:dyDescent="0.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x14ac:dyDescent="0.6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x14ac:dyDescent="0.6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x14ac:dyDescent="0.6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x14ac:dyDescent="0.6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x14ac:dyDescent="0.6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x14ac:dyDescent="0.6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x14ac:dyDescent="0.6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x14ac:dyDescent="0.6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x14ac:dyDescent="0.6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x14ac:dyDescent="0.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x14ac:dyDescent="0.6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x14ac:dyDescent="0.6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x14ac:dyDescent="0.6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x14ac:dyDescent="0.6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x14ac:dyDescent="0.6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x14ac:dyDescent="0.6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x14ac:dyDescent="0.6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x14ac:dyDescent="0.6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x14ac:dyDescent="0.6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x14ac:dyDescent="0.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x14ac:dyDescent="0.6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x14ac:dyDescent="0.6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x14ac:dyDescent="0.6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x14ac:dyDescent="0.6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x14ac:dyDescent="0.6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x14ac:dyDescent="0.6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x14ac:dyDescent="0.6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x14ac:dyDescent="0.6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x14ac:dyDescent="0.6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x14ac:dyDescent="0.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x14ac:dyDescent="0.6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x14ac:dyDescent="0.6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x14ac:dyDescent="0.6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x14ac:dyDescent="0.6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x14ac:dyDescent="0.6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x14ac:dyDescent="0.6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x14ac:dyDescent="0.6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x14ac:dyDescent="0.6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x14ac:dyDescent="0.6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x14ac:dyDescent="0.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x14ac:dyDescent="0.6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x14ac:dyDescent="0.6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x14ac:dyDescent="0.6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x14ac:dyDescent="0.6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x14ac:dyDescent="0.6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x14ac:dyDescent="0.6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x14ac:dyDescent="0.6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x14ac:dyDescent="0.6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x14ac:dyDescent="0.6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x14ac:dyDescent="0.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x14ac:dyDescent="0.6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x14ac:dyDescent="0.6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x14ac:dyDescent="0.6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x14ac:dyDescent="0.6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x14ac:dyDescent="0.6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x14ac:dyDescent="0.6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x14ac:dyDescent="0.6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x14ac:dyDescent="0.6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x14ac:dyDescent="0.6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x14ac:dyDescent="0.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x14ac:dyDescent="0.6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x14ac:dyDescent="0.6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x14ac:dyDescent="0.6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x14ac:dyDescent="0.6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x14ac:dyDescent="0.6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x14ac:dyDescent="0.6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x14ac:dyDescent="0.6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x14ac:dyDescent="0.6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x14ac:dyDescent="0.6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x14ac:dyDescent="0.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x14ac:dyDescent="0.6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x14ac:dyDescent="0.6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x14ac:dyDescent="0.6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x14ac:dyDescent="0.6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x14ac:dyDescent="0.6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x14ac:dyDescent="0.6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x14ac:dyDescent="0.6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x14ac:dyDescent="0.6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x14ac:dyDescent="0.6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x14ac:dyDescent="0.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x14ac:dyDescent="0.6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x14ac:dyDescent="0.6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x14ac:dyDescent="0.6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x14ac:dyDescent="0.6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x14ac:dyDescent="0.6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x14ac:dyDescent="0.6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x14ac:dyDescent="0.6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x14ac:dyDescent="0.6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x14ac:dyDescent="0.6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x14ac:dyDescent="0.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x14ac:dyDescent="0.6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x14ac:dyDescent="0.6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x14ac:dyDescent="0.6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x14ac:dyDescent="0.6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x14ac:dyDescent="0.6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x14ac:dyDescent="0.6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x14ac:dyDescent="0.6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x14ac:dyDescent="0.6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x14ac:dyDescent="0.6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x14ac:dyDescent="0.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x14ac:dyDescent="0.6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x14ac:dyDescent="0.6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x14ac:dyDescent="0.6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x14ac:dyDescent="0.6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x14ac:dyDescent="0.6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x14ac:dyDescent="0.6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x14ac:dyDescent="0.6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x14ac:dyDescent="0.6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x14ac:dyDescent="0.6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x14ac:dyDescent="0.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x14ac:dyDescent="0.6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x14ac:dyDescent="0.6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x14ac:dyDescent="0.6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x14ac:dyDescent="0.6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x14ac:dyDescent="0.6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x14ac:dyDescent="0.6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x14ac:dyDescent="0.6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x14ac:dyDescent="0.6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x14ac:dyDescent="0.6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x14ac:dyDescent="0.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x14ac:dyDescent="0.6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x14ac:dyDescent="0.6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x14ac:dyDescent="0.6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x14ac:dyDescent="0.6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x14ac:dyDescent="0.6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x14ac:dyDescent="0.6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x14ac:dyDescent="0.6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x14ac:dyDescent="0.6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x14ac:dyDescent="0.6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x14ac:dyDescent="0.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x14ac:dyDescent="0.6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x14ac:dyDescent="0.6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x14ac:dyDescent="0.6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x14ac:dyDescent="0.6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x14ac:dyDescent="0.6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x14ac:dyDescent="0.6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x14ac:dyDescent="0.6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x14ac:dyDescent="0.6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x14ac:dyDescent="0.6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x14ac:dyDescent="0.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x14ac:dyDescent="0.6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x14ac:dyDescent="0.6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x14ac:dyDescent="0.6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x14ac:dyDescent="0.6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x14ac:dyDescent="0.6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x14ac:dyDescent="0.6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x14ac:dyDescent="0.6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x14ac:dyDescent="0.6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x14ac:dyDescent="0.6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x14ac:dyDescent="0.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x14ac:dyDescent="0.6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x14ac:dyDescent="0.6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x14ac:dyDescent="0.6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x14ac:dyDescent="0.6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x14ac:dyDescent="0.6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x14ac:dyDescent="0.6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x14ac:dyDescent="0.6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x14ac:dyDescent="0.6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x14ac:dyDescent="0.6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x14ac:dyDescent="0.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x14ac:dyDescent="0.6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x14ac:dyDescent="0.6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x14ac:dyDescent="0.6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x14ac:dyDescent="0.6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x14ac:dyDescent="0.6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x14ac:dyDescent="0.6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x14ac:dyDescent="0.6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x14ac:dyDescent="0.6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x14ac:dyDescent="0.6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x14ac:dyDescent="0.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x14ac:dyDescent="0.6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x14ac:dyDescent="0.6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x14ac:dyDescent="0.6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x14ac:dyDescent="0.6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x14ac:dyDescent="0.6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x14ac:dyDescent="0.6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x14ac:dyDescent="0.6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x14ac:dyDescent="0.6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x14ac:dyDescent="0.6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x14ac:dyDescent="0.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x14ac:dyDescent="0.6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x14ac:dyDescent="0.6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x14ac:dyDescent="0.6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x14ac:dyDescent="0.6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x14ac:dyDescent="0.6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x14ac:dyDescent="0.6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x14ac:dyDescent="0.6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x14ac:dyDescent="0.6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x14ac:dyDescent="0.6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x14ac:dyDescent="0.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x14ac:dyDescent="0.6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x14ac:dyDescent="0.6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x14ac:dyDescent="0.6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x14ac:dyDescent="0.6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x14ac:dyDescent="0.6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x14ac:dyDescent="0.6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x14ac:dyDescent="0.6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x14ac:dyDescent="0.6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x14ac:dyDescent="0.6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x14ac:dyDescent="0.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x14ac:dyDescent="0.6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x14ac:dyDescent="0.6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x14ac:dyDescent="0.6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x14ac:dyDescent="0.6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x14ac:dyDescent="0.6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x14ac:dyDescent="0.6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x14ac:dyDescent="0.6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x14ac:dyDescent="0.6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x14ac:dyDescent="0.6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x14ac:dyDescent="0.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x14ac:dyDescent="0.6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x14ac:dyDescent="0.6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x14ac:dyDescent="0.6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x14ac:dyDescent="0.6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x14ac:dyDescent="0.6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x14ac:dyDescent="0.6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x14ac:dyDescent="0.6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x14ac:dyDescent="0.6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x14ac:dyDescent="0.6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x14ac:dyDescent="0.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x14ac:dyDescent="0.6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x14ac:dyDescent="0.6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x14ac:dyDescent="0.6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x14ac:dyDescent="0.6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x14ac:dyDescent="0.6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x14ac:dyDescent="0.6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x14ac:dyDescent="0.6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x14ac:dyDescent="0.6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x14ac:dyDescent="0.6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x14ac:dyDescent="0.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x14ac:dyDescent="0.6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x14ac:dyDescent="0.6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x14ac:dyDescent="0.6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x14ac:dyDescent="0.6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x14ac:dyDescent="0.6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x14ac:dyDescent="0.6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x14ac:dyDescent="0.6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x14ac:dyDescent="0.6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x14ac:dyDescent="0.6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x14ac:dyDescent="0.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x14ac:dyDescent="0.6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x14ac:dyDescent="0.6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x14ac:dyDescent="0.6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x14ac:dyDescent="0.6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x14ac:dyDescent="0.6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x14ac:dyDescent="0.6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x14ac:dyDescent="0.6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x14ac:dyDescent="0.6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x14ac:dyDescent="0.6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x14ac:dyDescent="0.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x14ac:dyDescent="0.6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x14ac:dyDescent="0.6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x14ac:dyDescent="0.6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x14ac:dyDescent="0.6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x14ac:dyDescent="0.6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x14ac:dyDescent="0.6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x14ac:dyDescent="0.6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x14ac:dyDescent="0.6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x14ac:dyDescent="0.6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x14ac:dyDescent="0.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x14ac:dyDescent="0.6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x14ac:dyDescent="0.6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x14ac:dyDescent="0.6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x14ac:dyDescent="0.6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x14ac:dyDescent="0.6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x14ac:dyDescent="0.6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x14ac:dyDescent="0.6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x14ac:dyDescent="0.6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x14ac:dyDescent="0.6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x14ac:dyDescent="0.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x14ac:dyDescent="0.6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x14ac:dyDescent="0.6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x14ac:dyDescent="0.6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x14ac:dyDescent="0.6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x14ac:dyDescent="0.6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x14ac:dyDescent="0.6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x14ac:dyDescent="0.6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x14ac:dyDescent="0.6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x14ac:dyDescent="0.6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x14ac:dyDescent="0.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x14ac:dyDescent="0.6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x14ac:dyDescent="0.6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x14ac:dyDescent="0.6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x14ac:dyDescent="0.6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x14ac:dyDescent="0.6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x14ac:dyDescent="0.6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x14ac:dyDescent="0.6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x14ac:dyDescent="0.6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x14ac:dyDescent="0.6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x14ac:dyDescent="0.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x14ac:dyDescent="0.6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x14ac:dyDescent="0.6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x14ac:dyDescent="0.6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x14ac:dyDescent="0.6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x14ac:dyDescent="0.6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x14ac:dyDescent="0.6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x14ac:dyDescent="0.6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x14ac:dyDescent="0.6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x14ac:dyDescent="0.6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x14ac:dyDescent="0.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x14ac:dyDescent="0.6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x14ac:dyDescent="0.6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x14ac:dyDescent="0.6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x14ac:dyDescent="0.6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x14ac:dyDescent="0.6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x14ac:dyDescent="0.6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x14ac:dyDescent="0.6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x14ac:dyDescent="0.6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x14ac:dyDescent="0.6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x14ac:dyDescent="0.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x14ac:dyDescent="0.6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x14ac:dyDescent="0.6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x14ac:dyDescent="0.6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x14ac:dyDescent="0.6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x14ac:dyDescent="0.6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x14ac:dyDescent="0.6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x14ac:dyDescent="0.6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x14ac:dyDescent="0.6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x14ac:dyDescent="0.6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x14ac:dyDescent="0.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x14ac:dyDescent="0.6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x14ac:dyDescent="0.6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x14ac:dyDescent="0.6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x14ac:dyDescent="0.6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x14ac:dyDescent="0.6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x14ac:dyDescent="0.6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x14ac:dyDescent="0.6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x14ac:dyDescent="0.6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x14ac:dyDescent="0.6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x14ac:dyDescent="0.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x14ac:dyDescent="0.6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x14ac:dyDescent="0.6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x14ac:dyDescent="0.6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x14ac:dyDescent="0.6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x14ac:dyDescent="0.6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x14ac:dyDescent="0.6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x14ac:dyDescent="0.6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x14ac:dyDescent="0.6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x14ac:dyDescent="0.6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x14ac:dyDescent="0.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x14ac:dyDescent="0.6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x14ac:dyDescent="0.6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x14ac:dyDescent="0.6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x14ac:dyDescent="0.6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x14ac:dyDescent="0.6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x14ac:dyDescent="0.6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x14ac:dyDescent="0.6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x14ac:dyDescent="0.6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x14ac:dyDescent="0.6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x14ac:dyDescent="0.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x14ac:dyDescent="0.6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x14ac:dyDescent="0.6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x14ac:dyDescent="0.6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x14ac:dyDescent="0.6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x14ac:dyDescent="0.6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x14ac:dyDescent="0.6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x14ac:dyDescent="0.6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x14ac:dyDescent="0.6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x14ac:dyDescent="0.6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x14ac:dyDescent="0.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x14ac:dyDescent="0.6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x14ac:dyDescent="0.6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x14ac:dyDescent="0.6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x14ac:dyDescent="0.6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x14ac:dyDescent="0.6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x14ac:dyDescent="0.6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x14ac:dyDescent="0.6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x14ac:dyDescent="0.6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x14ac:dyDescent="0.6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x14ac:dyDescent="0.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x14ac:dyDescent="0.6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x14ac:dyDescent="0.6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x14ac:dyDescent="0.6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x14ac:dyDescent="0.6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x14ac:dyDescent="0.6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x14ac:dyDescent="0.6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x14ac:dyDescent="0.6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x14ac:dyDescent="0.6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x14ac:dyDescent="0.6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x14ac:dyDescent="0.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x14ac:dyDescent="0.6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x14ac:dyDescent="0.6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x14ac:dyDescent="0.6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x14ac:dyDescent="0.6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x14ac:dyDescent="0.6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x14ac:dyDescent="0.6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x14ac:dyDescent="0.6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x14ac:dyDescent="0.6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x14ac:dyDescent="0.6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x14ac:dyDescent="0.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x14ac:dyDescent="0.6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x14ac:dyDescent="0.6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x14ac:dyDescent="0.6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x14ac:dyDescent="0.6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x14ac:dyDescent="0.6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x14ac:dyDescent="0.6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x14ac:dyDescent="0.6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x14ac:dyDescent="0.6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x14ac:dyDescent="0.6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x14ac:dyDescent="0.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x14ac:dyDescent="0.6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x14ac:dyDescent="0.6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x14ac:dyDescent="0.6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x14ac:dyDescent="0.6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x14ac:dyDescent="0.6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x14ac:dyDescent="0.6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x14ac:dyDescent="0.6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x14ac:dyDescent="0.6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x14ac:dyDescent="0.6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x14ac:dyDescent="0.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x14ac:dyDescent="0.6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x14ac:dyDescent="0.6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x14ac:dyDescent="0.6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x14ac:dyDescent="0.6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x14ac:dyDescent="0.6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x14ac:dyDescent="0.6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x14ac:dyDescent="0.6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x14ac:dyDescent="0.6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x14ac:dyDescent="0.6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x14ac:dyDescent="0.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x14ac:dyDescent="0.6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x14ac:dyDescent="0.6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x14ac:dyDescent="0.6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x14ac:dyDescent="0.6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x14ac:dyDescent="0.6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x14ac:dyDescent="0.6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x14ac:dyDescent="0.6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x14ac:dyDescent="0.6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x14ac:dyDescent="0.6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x14ac:dyDescent="0.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x14ac:dyDescent="0.6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x14ac:dyDescent="0.6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x14ac:dyDescent="0.6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x14ac:dyDescent="0.6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x14ac:dyDescent="0.6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x14ac:dyDescent="0.6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x14ac:dyDescent="0.6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x14ac:dyDescent="0.6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x14ac:dyDescent="0.6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x14ac:dyDescent="0.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x14ac:dyDescent="0.6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x14ac:dyDescent="0.6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x14ac:dyDescent="0.6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x14ac:dyDescent="0.6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x14ac:dyDescent="0.6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x14ac:dyDescent="0.6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x14ac:dyDescent="0.6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x14ac:dyDescent="0.6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x14ac:dyDescent="0.6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x14ac:dyDescent="0.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x14ac:dyDescent="0.6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x14ac:dyDescent="0.6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x14ac:dyDescent="0.6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x14ac:dyDescent="0.6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x14ac:dyDescent="0.6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x14ac:dyDescent="0.6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x14ac:dyDescent="0.6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x14ac:dyDescent="0.6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x14ac:dyDescent="0.6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x14ac:dyDescent="0.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x14ac:dyDescent="0.6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x14ac:dyDescent="0.6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x14ac:dyDescent="0.6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x14ac:dyDescent="0.6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x14ac:dyDescent="0.6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x14ac:dyDescent="0.6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x14ac:dyDescent="0.6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x14ac:dyDescent="0.6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x14ac:dyDescent="0.6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x14ac:dyDescent="0.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x14ac:dyDescent="0.6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x14ac:dyDescent="0.6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x14ac:dyDescent="0.6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x14ac:dyDescent="0.6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x14ac:dyDescent="0.6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x14ac:dyDescent="0.6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x14ac:dyDescent="0.6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x14ac:dyDescent="0.6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x14ac:dyDescent="0.6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x14ac:dyDescent="0.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x14ac:dyDescent="0.6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x14ac:dyDescent="0.6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x14ac:dyDescent="0.6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x14ac:dyDescent="0.6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x14ac:dyDescent="0.6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x14ac:dyDescent="0.6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x14ac:dyDescent="0.6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x14ac:dyDescent="0.6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x14ac:dyDescent="0.6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x14ac:dyDescent="0.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x14ac:dyDescent="0.6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x14ac:dyDescent="0.6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x14ac:dyDescent="0.6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x14ac:dyDescent="0.6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x14ac:dyDescent="0.6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x14ac:dyDescent="0.6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x14ac:dyDescent="0.6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x14ac:dyDescent="0.6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x14ac:dyDescent="0.6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x14ac:dyDescent="0.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x14ac:dyDescent="0.6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x14ac:dyDescent="0.6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x14ac:dyDescent="0.6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x14ac:dyDescent="0.6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x14ac:dyDescent="0.6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x14ac:dyDescent="0.6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x14ac:dyDescent="0.6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x14ac:dyDescent="0.6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x14ac:dyDescent="0.6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x14ac:dyDescent="0.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x14ac:dyDescent="0.6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x14ac:dyDescent="0.6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x14ac:dyDescent="0.6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x14ac:dyDescent="0.6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x14ac:dyDescent="0.6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x14ac:dyDescent="0.6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x14ac:dyDescent="0.6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x14ac:dyDescent="0.6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x14ac:dyDescent="0.6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x14ac:dyDescent="0.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x14ac:dyDescent="0.6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x14ac:dyDescent="0.6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x14ac:dyDescent="0.6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x14ac:dyDescent="0.6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x14ac:dyDescent="0.6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x14ac:dyDescent="0.6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x14ac:dyDescent="0.6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x14ac:dyDescent="0.6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x14ac:dyDescent="0.6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x14ac:dyDescent="0.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x14ac:dyDescent="0.6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x14ac:dyDescent="0.6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x14ac:dyDescent="0.6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x14ac:dyDescent="0.6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x14ac:dyDescent="0.6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x14ac:dyDescent="0.6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x14ac:dyDescent="0.6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x14ac:dyDescent="0.6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x14ac:dyDescent="0.6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x14ac:dyDescent="0.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x14ac:dyDescent="0.6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x14ac:dyDescent="0.6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x14ac:dyDescent="0.6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x14ac:dyDescent="0.6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x14ac:dyDescent="0.6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x14ac:dyDescent="0.6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x14ac:dyDescent="0.6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x14ac:dyDescent="0.6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x14ac:dyDescent="0.6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x14ac:dyDescent="0.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x14ac:dyDescent="0.6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x14ac:dyDescent="0.6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x14ac:dyDescent="0.6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x14ac:dyDescent="0.6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x14ac:dyDescent="0.6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x14ac:dyDescent="0.6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x14ac:dyDescent="0.6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x14ac:dyDescent="0.6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x14ac:dyDescent="0.6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x14ac:dyDescent="0.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x14ac:dyDescent="0.6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x14ac:dyDescent="0.6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x14ac:dyDescent="0.6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x14ac:dyDescent="0.6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x14ac:dyDescent="0.6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x14ac:dyDescent="0.6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x14ac:dyDescent="0.6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x14ac:dyDescent="0.6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x14ac:dyDescent="0.6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x14ac:dyDescent="0.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x14ac:dyDescent="0.6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x14ac:dyDescent="0.6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x14ac:dyDescent="0.6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x14ac:dyDescent="0.6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x14ac:dyDescent="0.6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x14ac:dyDescent="0.6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x14ac:dyDescent="0.6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x14ac:dyDescent="0.6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x14ac:dyDescent="0.6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x14ac:dyDescent="0.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x14ac:dyDescent="0.6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x14ac:dyDescent="0.6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x14ac:dyDescent="0.6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x14ac:dyDescent="0.6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x14ac:dyDescent="0.6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x14ac:dyDescent="0.6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x14ac:dyDescent="0.6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x14ac:dyDescent="0.6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x14ac:dyDescent="0.6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x14ac:dyDescent="0.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x14ac:dyDescent="0.6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x14ac:dyDescent="0.6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x14ac:dyDescent="0.6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x14ac:dyDescent="0.6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x14ac:dyDescent="0.6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x14ac:dyDescent="0.6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x14ac:dyDescent="0.6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x14ac:dyDescent="0.6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x14ac:dyDescent="0.6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x14ac:dyDescent="0.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x14ac:dyDescent="0.6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x14ac:dyDescent="0.6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x14ac:dyDescent="0.6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x14ac:dyDescent="0.6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x14ac:dyDescent="0.6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x14ac:dyDescent="0.6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x14ac:dyDescent="0.6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x14ac:dyDescent="0.6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x14ac:dyDescent="0.6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x14ac:dyDescent="0.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x14ac:dyDescent="0.6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x14ac:dyDescent="0.6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x14ac:dyDescent="0.6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x14ac:dyDescent="0.6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x14ac:dyDescent="0.6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x14ac:dyDescent="0.6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x14ac:dyDescent="0.6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x14ac:dyDescent="0.6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x14ac:dyDescent="0.6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x14ac:dyDescent="0.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x14ac:dyDescent="0.6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x14ac:dyDescent="0.6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x14ac:dyDescent="0.6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x14ac:dyDescent="0.6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x14ac:dyDescent="0.6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x14ac:dyDescent="0.6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x14ac:dyDescent="0.6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x14ac:dyDescent="0.6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x14ac:dyDescent="0.6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x14ac:dyDescent="0.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x14ac:dyDescent="0.6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x14ac:dyDescent="0.6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x14ac:dyDescent="0.6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x14ac:dyDescent="0.6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x14ac:dyDescent="0.6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x14ac:dyDescent="0.6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x14ac:dyDescent="0.6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x14ac:dyDescent="0.6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x14ac:dyDescent="0.6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x14ac:dyDescent="0.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x14ac:dyDescent="0.6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x14ac:dyDescent="0.6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x14ac:dyDescent="0.6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x14ac:dyDescent="0.6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x14ac:dyDescent="0.6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x14ac:dyDescent="0.6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x14ac:dyDescent="0.6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x14ac:dyDescent="0.6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x14ac:dyDescent="0.6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x14ac:dyDescent="0.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x14ac:dyDescent="0.6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x14ac:dyDescent="0.6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x14ac:dyDescent="0.6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x14ac:dyDescent="0.6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x14ac:dyDescent="0.6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x14ac:dyDescent="0.6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x14ac:dyDescent="0.6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x14ac:dyDescent="0.6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x14ac:dyDescent="0.6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x14ac:dyDescent="0.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x14ac:dyDescent="0.6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x14ac:dyDescent="0.6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x14ac:dyDescent="0.6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x14ac:dyDescent="0.6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x14ac:dyDescent="0.6">
      <c r="A1001" s="3"/>
      <c r="B1001" s="3"/>
      <c r="C1001" s="3"/>
      <c r="D1001" s="3"/>
      <c r="E1001" s="3"/>
      <c r="F1001" s="5"/>
      <c r="G1001" s="5"/>
      <c r="H1001" s="7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5">
    <mergeCell ref="A1:C1"/>
    <mergeCell ref="A2:C2"/>
    <mergeCell ref="A14:G14"/>
    <mergeCell ref="A15:G15"/>
    <mergeCell ref="A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Your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Maria Åkerman</cp:lastModifiedBy>
  <dcterms:modified xsi:type="dcterms:W3CDTF">2026-09-14T11:55:31Z</dcterms:modified>
</cp:coreProperties>
</file>